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050" tabRatio="500" activeTab="2"/>
  </bookViews>
  <sheets>
    <sheet name="Cross-Browser Compatibility" sheetId="1" r:id="rId1"/>
    <sheet name="Retesting Report" sheetId="2" r:id="rId2"/>
    <sheet name="New Bugs Week 2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E18" i="2"/>
  <c r="B18" i="2"/>
  <c r="D38" i="1"/>
  <c r="B38" i="1"/>
  <c r="D37" i="1"/>
  <c r="B37" i="1"/>
  <c r="D36" i="1"/>
  <c r="B36" i="1"/>
  <c r="E35" i="1"/>
</calcChain>
</file>

<file path=xl/sharedStrings.xml><?xml version="1.0" encoding="utf-8"?>
<sst xmlns="http://schemas.openxmlformats.org/spreadsheetml/2006/main" count="356" uniqueCount="230">
  <si>
    <t>CROSS-BROWSER COMPATIBILITY TESTING REPORT – To-Do List Web Application</t>
  </si>
  <si>
    <t>Application:</t>
  </si>
  <si>
    <t>To-Do List Web App</t>
  </si>
  <si>
    <t>Test Date:</t>
  </si>
  <si>
    <t>03-Apr-2026</t>
  </si>
  <si>
    <t>Tester:</t>
  </si>
  <si>
    <t>Browsers Tested:</t>
  </si>
  <si>
    <t>Chrome 123 | Firefox 124 | Edge 123</t>
  </si>
  <si>
    <t>BROWSER ENVIRONMENT DETAILS</t>
  </si>
  <si>
    <t>Browser</t>
  </si>
  <si>
    <t>Version</t>
  </si>
  <si>
    <t>OS</t>
  </si>
  <si>
    <t>Screen Res</t>
  </si>
  <si>
    <t>Test Mode</t>
  </si>
  <si>
    <t>JS Enabled</t>
  </si>
  <si>
    <t>DevTools Used</t>
  </si>
  <si>
    <t>Network</t>
  </si>
  <si>
    <t>Remarks</t>
  </si>
  <si>
    <t>Google Chrome</t>
  </si>
  <si>
    <t>123.0</t>
  </si>
  <si>
    <t>Windows 11</t>
  </si>
  <si>
    <t>1920x1080</t>
  </si>
  <si>
    <t>Normal + DevTools</t>
  </si>
  <si>
    <t>Yes</t>
  </si>
  <si>
    <t>Broadband</t>
  </si>
  <si>
    <t>Primary test browser</t>
  </si>
  <si>
    <t>Mozilla Firefox</t>
  </si>
  <si>
    <t>124.0</t>
  </si>
  <si>
    <t>Secondary browser</t>
  </si>
  <si>
    <t>Microsoft Edge</t>
  </si>
  <si>
    <t>Chromium-based</t>
  </si>
  <si>
    <t>COMPATIBILITY TEST RESULTS</t>
  </si>
  <si>
    <t>TC ID</t>
  </si>
  <si>
    <t>Test Area</t>
  </si>
  <si>
    <t>Test Description</t>
  </si>
  <si>
    <t>Chrome 123</t>
  </si>
  <si>
    <t>Firefox 124</t>
  </si>
  <si>
    <t>Edge 123</t>
  </si>
  <si>
    <t>Remarks / Issues Found</t>
  </si>
  <si>
    <t>CB-001</t>
  </si>
  <si>
    <t>Login Page</t>
  </si>
  <si>
    <t>Login form renders correctly with all elements visible</t>
  </si>
  <si>
    <t>Pass</t>
  </si>
  <si>
    <t>All browsers render form identically</t>
  </si>
  <si>
    <t>CB-002</t>
  </si>
  <si>
    <t>Error message displayed on invalid credentials</t>
  </si>
  <si>
    <t>Consistent across browsers</t>
  </si>
  <si>
    <t>CB-003</t>
  </si>
  <si>
    <t>Sign Up</t>
  </si>
  <si>
    <t>Registration form fields and validation messages display</t>
  </si>
  <si>
    <t>No issues</t>
  </si>
  <si>
    <t>CB-004</t>
  </si>
  <si>
    <t>Dashboard</t>
  </si>
  <si>
    <t>Task list loads and displays all tasks correctly</t>
  </si>
  <si>
    <t>Identical layout confirmed</t>
  </si>
  <si>
    <t>CB-005</t>
  </si>
  <si>
    <t>Add Task</t>
  </si>
  <si>
    <t>'Add Task' modal/form opens correctly</t>
  </si>
  <si>
    <t>No browser-specific issues</t>
  </si>
  <si>
    <t>CB-006</t>
  </si>
  <si>
    <t>Task title input accepts text and validates</t>
  </si>
  <si>
    <t>Fail</t>
  </si>
  <si>
    <t>Firefox: validation tooltip missing on empty submit</t>
  </si>
  <si>
    <t>CB-007</t>
  </si>
  <si>
    <t>Edit Task</t>
  </si>
  <si>
    <t>Edit form pre-populates with existing task data</t>
  </si>
  <si>
    <t>Works on all 3 browsers</t>
  </si>
  <si>
    <t>CB-008</t>
  </si>
  <si>
    <t>Delete Task</t>
  </si>
  <si>
    <t>Delete confirmation dialog renders and works</t>
  </si>
  <si>
    <t>Dialog style slightly differs on Edge (minor)</t>
  </si>
  <si>
    <t>CB-009</t>
  </si>
  <si>
    <t>Complete Task</t>
  </si>
  <si>
    <t>Checkbox marks task complete with visual feedback</t>
  </si>
  <si>
    <t>Edge: strikethrough style not applying via CSS</t>
  </si>
  <si>
    <t>CB-010</t>
  </si>
  <si>
    <t>Filter Tasks</t>
  </si>
  <si>
    <t>Filter tabs (All/Active/Completed) function correctly</t>
  </si>
  <si>
    <t>Consistent behaviour</t>
  </si>
  <si>
    <t>CB-011</t>
  </si>
  <si>
    <t>Search</t>
  </si>
  <si>
    <t>Search bar input and results display correctly</t>
  </si>
  <si>
    <t>CB-012</t>
  </si>
  <si>
    <t>Responsive Layout</t>
  </si>
  <si>
    <t>Layout at 375px viewport (mobile simulation)</t>
  </si>
  <si>
    <t>Horizontal overflow on all browsers – existing bug BUG-003</t>
  </si>
  <si>
    <t>CB-013</t>
  </si>
  <si>
    <t>Font &amp; Typography</t>
  </si>
  <si>
    <t>Fonts render consistently (Arial/system fonts)</t>
  </si>
  <si>
    <t>Minor font weight difference on Firefox (acceptable)</t>
  </si>
  <si>
    <t>CB-014</t>
  </si>
  <si>
    <t>Button Hover States</t>
  </si>
  <si>
    <t>Hover effects on buttons work correctly</t>
  </si>
  <si>
    <t>All hover states functioning</t>
  </si>
  <si>
    <t>CB-015</t>
  </si>
  <si>
    <t>Loading Spinner</t>
  </si>
  <si>
    <t>Spinner appears on slow network (Slow 3G DevTools)</t>
  </si>
  <si>
    <t>No spinner on any browser – existing bug BUG-004</t>
  </si>
  <si>
    <t>CB-016</t>
  </si>
  <si>
    <t>Logout</t>
  </si>
  <si>
    <t>Logout clears session and redirects to login</t>
  </si>
  <si>
    <t>Session cleared correctly</t>
  </si>
  <si>
    <t>CB-017</t>
  </si>
  <si>
    <t>CSS Grid/Flexbox</t>
  </si>
  <si>
    <t>Task grid layout renders without breaking</t>
  </si>
  <si>
    <t>Edge Chromium handles flexbox correctly</t>
  </si>
  <si>
    <t>CB-018</t>
  </si>
  <si>
    <t>JavaScript Execution</t>
  </si>
  <si>
    <t>All interactive JS features work without errors</t>
  </si>
  <si>
    <t>Firefox console shows deprecation warning (non-blocking)</t>
  </si>
  <si>
    <t>COMPATIBILITY SUMMARY</t>
  </si>
  <si>
    <t>Total Test Cases</t>
  </si>
  <si>
    <t>18</t>
  </si>
  <si>
    <t>Chrome Pass Rate</t>
  </si>
  <si>
    <t>Chrome Pass</t>
  </si>
  <si>
    <t>Chrome Fail</t>
  </si>
  <si>
    <t>Firefox Pass</t>
  </si>
  <si>
    <t>Firefox Fail</t>
  </si>
  <si>
    <t>Edge Pass</t>
  </si>
  <si>
    <t>Edge Fail</t>
  </si>
  <si>
    <t>RETESTING REPORT – Week 1 Bug Retest (Week 2 Cycle)</t>
  </si>
  <si>
    <t>Retest Date:</t>
  </si>
  <si>
    <t>Retested By:</t>
  </si>
  <si>
    <t>Original Bugs:</t>
  </si>
  <si>
    <t>BUG-001 to BUG-006</t>
  </si>
  <si>
    <t>RETEST RESULTS</t>
  </si>
  <si>
    <t>Bug ID</t>
  </si>
  <si>
    <t>Module</t>
  </si>
  <si>
    <t>Original Description</t>
  </si>
  <si>
    <t>Severity</t>
  </si>
  <si>
    <t>Week 1 Status</t>
  </si>
  <si>
    <t>Fix Applied by Dev</t>
  </si>
  <si>
    <t>Retest Steps</t>
  </si>
  <si>
    <t>Retest Result</t>
  </si>
  <si>
    <t>New Status</t>
  </si>
  <si>
    <t>Comments</t>
  </si>
  <si>
    <t>BUG-001</t>
  </si>
  <si>
    <t>Registration allowed with duplicate email – existing account not detected</t>
  </si>
  <si>
    <t>High</t>
  </si>
  <si>
    <t>Open</t>
  </si>
  <si>
    <t>Server-side uniqueness check added to /register endpoint</t>
  </si>
  <si>
    <t>1. Register with test@demo.com
2. Logout
3. Register again same email
4. Click Register</t>
  </si>
  <si>
    <t>Reopen</t>
  </si>
  <si>
    <t>Fix not effective – duplicate account still created. Dev re-assigned.</t>
  </si>
  <si>
    <t>BUG-002</t>
  </si>
  <si>
    <t>Empty task can be saved – no title validation</t>
  </si>
  <si>
    <t>Client-side required field validation added to task form</t>
  </si>
  <si>
    <t>1. Login
2. Click Add Task
3. Leave title blank
4. Click Save</t>
  </si>
  <si>
    <t>Resolved</t>
  </si>
  <si>
    <t>Fix verified – empty task no longer saved. Bug closed.</t>
  </si>
  <si>
    <t>BUG-003</t>
  </si>
  <si>
    <t>UI Responsive</t>
  </si>
  <si>
    <t>Layout breaks on 375px viewport – horizontal scroll visible</t>
  </si>
  <si>
    <t>Medium</t>
  </si>
  <si>
    <t>In Progress</t>
  </si>
  <si>
    <t>CSS flexbox updated; media query at 480px added</t>
  </si>
  <si>
    <t>1. Open DevTools
2. Set 375x667
3. Navigate dashboard
4. Check overflow</t>
  </si>
  <si>
    <t>Partial fix – overflow reduced but still present on task list section.</t>
  </si>
  <si>
    <t>BUG-004</t>
  </si>
  <si>
    <t>UI Loading</t>
  </si>
  <si>
    <t>No loading spinner shown on slow network during task save</t>
  </si>
  <si>
    <t>Low</t>
  </si>
  <si>
    <t>Spinner component added; triggered on API call start</t>
  </si>
  <si>
    <t>1. Throttle to Slow 3G
2. Login
3. Add task
4. Click Save</t>
  </si>
  <si>
    <t>Spinner now displays correctly. Bug closed.</t>
  </si>
  <si>
    <t>BUG-005</t>
  </si>
  <si>
    <t>Completed tasks do not move to Completed section</t>
  </si>
  <si>
    <t>Task state management refactored; list re-render on checkbox toggle</t>
  </si>
  <si>
    <t>1. Login
2. Click checkbox on active task
3. Observe list behaviour</t>
  </si>
  <si>
    <t>Task now moves to Completed section with strikethrough. Bug closed.</t>
  </si>
  <si>
    <t>BUG-006</t>
  </si>
  <si>
    <t>Search is case-sensitive – 'groceries' != 'Groceries'</t>
  </si>
  <si>
    <t>Search query converted to lowercase before comparison</t>
  </si>
  <si>
    <t>1. Create task 'Groceries'
2. Search 'groceries'
3. Press Enter</t>
  </si>
  <si>
    <t>Fix works on Chrome but fails on Firefox. Cross-browser issue raised.</t>
  </si>
  <si>
    <t>RETEST SUMMARY</t>
  </si>
  <si>
    <t>Total Bugs Retested</t>
  </si>
  <si>
    <t>6</t>
  </si>
  <si>
    <t>Resolved (Fixed)</t>
  </si>
  <si>
    <t>Failed (Reopen)</t>
  </si>
  <si>
    <t>Resolution Rate</t>
  </si>
  <si>
    <t>NEW DEFECTS IDENTIFIED – Week 2 Testing (BVA / EP / Cross-Browser)</t>
  </si>
  <si>
    <t>Reported By:</t>
  </si>
  <si>
    <t>Report Date:</t>
  </si>
  <si>
    <t>Testing Cycle:</t>
  </si>
  <si>
    <t>Week 2</t>
  </si>
  <si>
    <t>NEW BUG REPORT</t>
  </si>
  <si>
    <t>Test Case Ref</t>
  </si>
  <si>
    <t>Bug Description</t>
  </si>
  <si>
    <t>Priority</t>
  </si>
  <si>
    <t>Browser Affected</t>
  </si>
  <si>
    <t>Steps to Reproduce</t>
  </si>
  <si>
    <t>Expected Result</t>
  </si>
  <si>
    <t>Status</t>
  </si>
  <si>
    <t>BUG-007</t>
  </si>
  <si>
    <t>BVA-TC-001</t>
  </si>
  <si>
    <t>Signup</t>
  </si>
  <si>
    <t>Password below minimum (7 chars) is accepted – no error shown</t>
  </si>
  <si>
    <t>P2</t>
  </si>
  <si>
    <t>All Browsers</t>
  </si>
  <si>
    <t>1. Go to signup
2. Enter password 'Admin@1' (7 chars)
3. Click Register</t>
  </si>
  <si>
    <t>Error: Password must be at least 8 characters</t>
  </si>
  <si>
    <t>BUG-008</t>
  </si>
  <si>
    <t>BVA-TC-004</t>
  </si>
  <si>
    <t>Password above 20 chars accepted with no validation error</t>
  </si>
  <si>
    <t>P3</t>
  </si>
  <si>
    <t>Chrome, Edge</t>
  </si>
  <si>
    <t>1. Go to signup
2. Enter 21-char password
3. Click Register</t>
  </si>
  <si>
    <t>Error: Password cannot exceed 20 characters</t>
  </si>
  <si>
    <t>BUG-009</t>
  </si>
  <si>
    <t>BVA-TC-014</t>
  </si>
  <si>
    <t>Past date accepted as due date without any warning</t>
  </si>
  <si>
    <t>1. Login
2. Add Task
3. Set due date = yesterday
4. Save</t>
  </si>
  <si>
    <t>Error: Due date cannot be in the past</t>
  </si>
  <si>
    <t>BUG-010</t>
  </si>
  <si>
    <t>Firefox: validation tooltip missing on empty title submit</t>
  </si>
  <si>
    <t>1. Open Firefox
2. Login
3. Click Add Task
4. Leave blank
5. Click Save</t>
  </si>
  <si>
    <t>Tooltip/error message shown near title field</t>
  </si>
  <si>
    <t>BUG-011</t>
  </si>
  <si>
    <t>Edge: CSS strikethrough not applied on task completion</t>
  </si>
  <si>
    <t>P4</t>
  </si>
  <si>
    <t>1. Open Edge
2. Login
3. Check checkbox on any task</t>
  </si>
  <si>
    <t>Strikethrough text style applied to completed task</t>
  </si>
  <si>
    <t>BUG-012</t>
  </si>
  <si>
    <t>EP-TC-004</t>
  </si>
  <si>
    <t>Login</t>
  </si>
  <si>
    <t>Short password (3 chars) does not show clear error – generic msg</t>
  </si>
  <si>
    <t>1. Go to login
2. Enter valid email, password 'abc'
3. Click Login</t>
  </si>
  <si>
    <t>Specific error: 'Password must be at least 6 characters'</t>
  </si>
  <si>
    <t>Muhammad Huzaifa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</si>
</sst>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6600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92D050"/>
        <bgColor rgb="FFBFBFBF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9" fontId="3" fillId="11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="70" zoomScaleNormal="70" workbookViewId="0">
      <pane ySplit="14" topLeftCell="A15" activePane="bottomLeft" state="frozen"/>
      <selection pane="bottomLeft" activeCell="A7" sqref="A7:J7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34" customWidth="1"/>
    <col min="4" max="6" width="14" customWidth="1"/>
    <col min="7" max="7" width="34" customWidth="1"/>
    <col min="8" max="8" width="14" customWidth="1"/>
    <col min="9" max="9" width="22" customWidth="1"/>
    <col min="10" max="10" width="5" customWidth="1"/>
  </cols>
  <sheetData>
    <row r="1" spans="1:10" ht="3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3" t="s">
        <v>1</v>
      </c>
      <c r="B2" s="4" t="s">
        <v>2</v>
      </c>
    </row>
    <row r="3" spans="1:10" x14ac:dyDescent="0.35">
      <c r="A3" s="3" t="s">
        <v>3</v>
      </c>
      <c r="B3" s="4" t="s">
        <v>4</v>
      </c>
    </row>
    <row r="4" spans="1:10" x14ac:dyDescent="0.35">
      <c r="A4" s="3" t="s">
        <v>5</v>
      </c>
      <c r="B4" s="4" t="s">
        <v>229</v>
      </c>
    </row>
    <row r="5" spans="1:10" x14ac:dyDescent="0.35">
      <c r="A5" s="3" t="s">
        <v>6</v>
      </c>
      <c r="B5" s="4" t="s">
        <v>7</v>
      </c>
    </row>
    <row r="6" spans="1:10" ht="7.5" customHeight="1" x14ac:dyDescent="0.35"/>
    <row r="7" spans="1:10" ht="25.5" customHeight="1" x14ac:dyDescent="0.35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</row>
    <row r="9" spans="1:10" ht="31.5" customHeight="1" x14ac:dyDescent="0.35">
      <c r="A9" s="6" t="s">
        <v>18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23</v>
      </c>
      <c r="H9" s="6" t="s">
        <v>24</v>
      </c>
      <c r="I9" s="6" t="s">
        <v>25</v>
      </c>
    </row>
    <row r="10" spans="1:10" ht="31.5" customHeight="1" x14ac:dyDescent="0.35">
      <c r="A10" s="7" t="s">
        <v>26</v>
      </c>
      <c r="B10" s="7" t="s">
        <v>27</v>
      </c>
      <c r="C10" s="7" t="s">
        <v>20</v>
      </c>
      <c r="D10" s="7" t="s">
        <v>21</v>
      </c>
      <c r="E10" s="7" t="s">
        <v>22</v>
      </c>
      <c r="F10" s="7" t="s">
        <v>23</v>
      </c>
      <c r="G10" s="7" t="s">
        <v>23</v>
      </c>
      <c r="H10" s="7" t="s">
        <v>24</v>
      </c>
      <c r="I10" s="7" t="s">
        <v>28</v>
      </c>
    </row>
    <row r="11" spans="1:10" ht="31.5" customHeight="1" x14ac:dyDescent="0.35">
      <c r="A11" s="6" t="s">
        <v>29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23</v>
      </c>
      <c r="H11" s="6" t="s">
        <v>24</v>
      </c>
      <c r="I11" s="6" t="s">
        <v>30</v>
      </c>
    </row>
    <row r="13" spans="1:10" ht="25.5" customHeight="1" x14ac:dyDescent="0.35">
      <c r="A13" s="1" t="s">
        <v>31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75" customHeight="1" x14ac:dyDescent="0.35">
      <c r="A14" s="8" t="s">
        <v>32</v>
      </c>
      <c r="B14" s="8" t="s">
        <v>33</v>
      </c>
      <c r="C14" s="8" t="s">
        <v>34</v>
      </c>
      <c r="D14" s="8" t="s">
        <v>35</v>
      </c>
      <c r="E14" s="8" t="s">
        <v>36</v>
      </c>
      <c r="F14" s="8" t="s">
        <v>37</v>
      </c>
      <c r="G14" s="8" t="s">
        <v>38</v>
      </c>
    </row>
    <row r="15" spans="1:10" ht="39.75" customHeight="1" x14ac:dyDescent="0.35">
      <c r="A15" s="9" t="s">
        <v>39</v>
      </c>
      <c r="B15" s="9" t="s">
        <v>40</v>
      </c>
      <c r="C15" s="9" t="s">
        <v>41</v>
      </c>
      <c r="D15" s="10" t="s">
        <v>42</v>
      </c>
      <c r="E15" s="10" t="s">
        <v>42</v>
      </c>
      <c r="F15" s="10" t="s">
        <v>42</v>
      </c>
      <c r="G15" s="9" t="s">
        <v>43</v>
      </c>
    </row>
    <row r="16" spans="1:10" ht="39.75" customHeight="1" x14ac:dyDescent="0.35">
      <c r="A16" s="11" t="s">
        <v>44</v>
      </c>
      <c r="B16" s="11" t="s">
        <v>40</v>
      </c>
      <c r="C16" s="11" t="s">
        <v>45</v>
      </c>
      <c r="D16" s="10" t="s">
        <v>42</v>
      </c>
      <c r="E16" s="10" t="s">
        <v>42</v>
      </c>
      <c r="F16" s="10" t="s">
        <v>42</v>
      </c>
      <c r="G16" s="11" t="s">
        <v>46</v>
      </c>
    </row>
    <row r="17" spans="1:7" ht="39.75" customHeight="1" x14ac:dyDescent="0.35">
      <c r="A17" s="9" t="s">
        <v>47</v>
      </c>
      <c r="B17" s="9" t="s">
        <v>48</v>
      </c>
      <c r="C17" s="9" t="s">
        <v>49</v>
      </c>
      <c r="D17" s="10" t="s">
        <v>42</v>
      </c>
      <c r="E17" s="10" t="s">
        <v>42</v>
      </c>
      <c r="F17" s="10" t="s">
        <v>42</v>
      </c>
      <c r="G17" s="9" t="s">
        <v>50</v>
      </c>
    </row>
    <row r="18" spans="1:7" ht="39.75" customHeight="1" x14ac:dyDescent="0.35">
      <c r="A18" s="11" t="s">
        <v>51</v>
      </c>
      <c r="B18" s="11" t="s">
        <v>52</v>
      </c>
      <c r="C18" s="11" t="s">
        <v>53</v>
      </c>
      <c r="D18" s="10" t="s">
        <v>42</v>
      </c>
      <c r="E18" s="10" t="s">
        <v>42</v>
      </c>
      <c r="F18" s="10" t="s">
        <v>42</v>
      </c>
      <c r="G18" s="11" t="s">
        <v>54</v>
      </c>
    </row>
    <row r="19" spans="1:7" ht="39.75" customHeight="1" x14ac:dyDescent="0.35">
      <c r="A19" s="9" t="s">
        <v>55</v>
      </c>
      <c r="B19" s="9" t="s">
        <v>56</v>
      </c>
      <c r="C19" s="9" t="s">
        <v>57</v>
      </c>
      <c r="D19" s="10" t="s">
        <v>42</v>
      </c>
      <c r="E19" s="10" t="s">
        <v>42</v>
      </c>
      <c r="F19" s="10" t="s">
        <v>42</v>
      </c>
      <c r="G19" s="9" t="s">
        <v>58</v>
      </c>
    </row>
    <row r="20" spans="1:7" ht="39.75" customHeight="1" x14ac:dyDescent="0.35">
      <c r="A20" s="11" t="s">
        <v>59</v>
      </c>
      <c r="B20" s="11" t="s">
        <v>56</v>
      </c>
      <c r="C20" s="11" t="s">
        <v>60</v>
      </c>
      <c r="D20" s="10" t="s">
        <v>42</v>
      </c>
      <c r="E20" s="12" t="s">
        <v>61</v>
      </c>
      <c r="F20" s="10" t="s">
        <v>42</v>
      </c>
      <c r="G20" s="11" t="s">
        <v>62</v>
      </c>
    </row>
    <row r="21" spans="1:7" ht="39.75" customHeight="1" x14ac:dyDescent="0.35">
      <c r="A21" s="9" t="s">
        <v>63</v>
      </c>
      <c r="B21" s="9" t="s">
        <v>64</v>
      </c>
      <c r="C21" s="9" t="s">
        <v>65</v>
      </c>
      <c r="D21" s="10" t="s">
        <v>42</v>
      </c>
      <c r="E21" s="10" t="s">
        <v>42</v>
      </c>
      <c r="F21" s="10" t="s">
        <v>42</v>
      </c>
      <c r="G21" s="9" t="s">
        <v>66</v>
      </c>
    </row>
    <row r="22" spans="1:7" ht="39.75" customHeight="1" x14ac:dyDescent="0.35">
      <c r="A22" s="11" t="s">
        <v>67</v>
      </c>
      <c r="B22" s="11" t="s">
        <v>68</v>
      </c>
      <c r="C22" s="11" t="s">
        <v>69</v>
      </c>
      <c r="D22" s="10" t="s">
        <v>42</v>
      </c>
      <c r="E22" s="10" t="s">
        <v>42</v>
      </c>
      <c r="F22" s="10" t="s">
        <v>42</v>
      </c>
      <c r="G22" s="11" t="s">
        <v>70</v>
      </c>
    </row>
    <row r="23" spans="1:7" ht="39.75" customHeight="1" x14ac:dyDescent="0.35">
      <c r="A23" s="9" t="s">
        <v>71</v>
      </c>
      <c r="B23" s="9" t="s">
        <v>72</v>
      </c>
      <c r="C23" s="9" t="s">
        <v>73</v>
      </c>
      <c r="D23" s="10" t="s">
        <v>42</v>
      </c>
      <c r="E23" s="10" t="s">
        <v>42</v>
      </c>
      <c r="F23" s="12" t="s">
        <v>61</v>
      </c>
      <c r="G23" s="9" t="s">
        <v>74</v>
      </c>
    </row>
    <row r="24" spans="1:7" ht="39.75" customHeight="1" x14ac:dyDescent="0.35">
      <c r="A24" s="11" t="s">
        <v>75</v>
      </c>
      <c r="B24" s="11" t="s">
        <v>76</v>
      </c>
      <c r="C24" s="11" t="s">
        <v>77</v>
      </c>
      <c r="D24" s="10" t="s">
        <v>42</v>
      </c>
      <c r="E24" s="10" t="s">
        <v>42</v>
      </c>
      <c r="F24" s="10" t="s">
        <v>42</v>
      </c>
      <c r="G24" s="11" t="s">
        <v>78</v>
      </c>
    </row>
    <row r="25" spans="1:7" ht="39.75" customHeight="1" x14ac:dyDescent="0.35">
      <c r="A25" s="9" t="s">
        <v>79</v>
      </c>
      <c r="B25" s="9" t="s">
        <v>80</v>
      </c>
      <c r="C25" s="9" t="s">
        <v>81</v>
      </c>
      <c r="D25" s="10" t="s">
        <v>42</v>
      </c>
      <c r="E25" s="10" t="s">
        <v>42</v>
      </c>
      <c r="F25" s="10" t="s">
        <v>42</v>
      </c>
      <c r="G25" s="9" t="s">
        <v>50</v>
      </c>
    </row>
    <row r="26" spans="1:7" ht="39.75" customHeight="1" x14ac:dyDescent="0.35">
      <c r="A26" s="11" t="s">
        <v>82</v>
      </c>
      <c r="B26" s="11" t="s">
        <v>83</v>
      </c>
      <c r="C26" s="11" t="s">
        <v>84</v>
      </c>
      <c r="D26" s="12" t="s">
        <v>61</v>
      </c>
      <c r="E26" s="12" t="s">
        <v>61</v>
      </c>
      <c r="F26" s="12" t="s">
        <v>61</v>
      </c>
      <c r="G26" s="11" t="s">
        <v>85</v>
      </c>
    </row>
    <row r="27" spans="1:7" ht="39.75" customHeight="1" x14ac:dyDescent="0.35">
      <c r="A27" s="9" t="s">
        <v>86</v>
      </c>
      <c r="B27" s="9" t="s">
        <v>87</v>
      </c>
      <c r="C27" s="9" t="s">
        <v>88</v>
      </c>
      <c r="D27" s="10" t="s">
        <v>42</v>
      </c>
      <c r="E27" s="10" t="s">
        <v>42</v>
      </c>
      <c r="F27" s="10" t="s">
        <v>42</v>
      </c>
      <c r="G27" s="9" t="s">
        <v>89</v>
      </c>
    </row>
    <row r="28" spans="1:7" ht="39.75" customHeight="1" x14ac:dyDescent="0.35">
      <c r="A28" s="11" t="s">
        <v>90</v>
      </c>
      <c r="B28" s="11" t="s">
        <v>91</v>
      </c>
      <c r="C28" s="11" t="s">
        <v>92</v>
      </c>
      <c r="D28" s="10" t="s">
        <v>42</v>
      </c>
      <c r="E28" s="10" t="s">
        <v>42</v>
      </c>
      <c r="F28" s="10" t="s">
        <v>42</v>
      </c>
      <c r="G28" s="11" t="s">
        <v>93</v>
      </c>
    </row>
    <row r="29" spans="1:7" ht="39.75" customHeight="1" x14ac:dyDescent="0.35">
      <c r="A29" s="9" t="s">
        <v>94</v>
      </c>
      <c r="B29" s="9" t="s">
        <v>95</v>
      </c>
      <c r="C29" s="9" t="s">
        <v>96</v>
      </c>
      <c r="D29" s="12" t="s">
        <v>61</v>
      </c>
      <c r="E29" s="12" t="s">
        <v>61</v>
      </c>
      <c r="F29" s="12" t="s">
        <v>61</v>
      </c>
      <c r="G29" s="9" t="s">
        <v>97</v>
      </c>
    </row>
    <row r="30" spans="1:7" ht="39.75" customHeight="1" x14ac:dyDescent="0.35">
      <c r="A30" s="11" t="s">
        <v>98</v>
      </c>
      <c r="B30" s="11" t="s">
        <v>99</v>
      </c>
      <c r="C30" s="11" t="s">
        <v>100</v>
      </c>
      <c r="D30" s="10" t="s">
        <v>42</v>
      </c>
      <c r="E30" s="10" t="s">
        <v>42</v>
      </c>
      <c r="F30" s="10" t="s">
        <v>42</v>
      </c>
      <c r="G30" s="11" t="s">
        <v>101</v>
      </c>
    </row>
    <row r="31" spans="1:7" ht="39.75" customHeight="1" x14ac:dyDescent="0.35">
      <c r="A31" s="9" t="s">
        <v>102</v>
      </c>
      <c r="B31" s="9" t="s">
        <v>103</v>
      </c>
      <c r="C31" s="9" t="s">
        <v>104</v>
      </c>
      <c r="D31" s="10" t="s">
        <v>42</v>
      </c>
      <c r="E31" s="10" t="s">
        <v>42</v>
      </c>
      <c r="F31" s="10" t="s">
        <v>42</v>
      </c>
      <c r="G31" s="9" t="s">
        <v>105</v>
      </c>
    </row>
    <row r="32" spans="1:7" ht="39.75" customHeight="1" x14ac:dyDescent="0.35">
      <c r="A32" s="11" t="s">
        <v>106</v>
      </c>
      <c r="B32" s="11" t="s">
        <v>107</v>
      </c>
      <c r="C32" s="11" t="s">
        <v>108</v>
      </c>
      <c r="D32" s="10" t="s">
        <v>42</v>
      </c>
      <c r="E32" s="12" t="s">
        <v>61</v>
      </c>
      <c r="F32" s="10" t="s">
        <v>42</v>
      </c>
      <c r="G32" s="11" t="s">
        <v>109</v>
      </c>
    </row>
    <row r="34" spans="1:10" ht="25.5" customHeight="1" x14ac:dyDescent="0.35">
      <c r="A34" s="1" t="s">
        <v>110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ht="25.5" customHeight="1" x14ac:dyDescent="0.35">
      <c r="A35" s="13" t="s">
        <v>111</v>
      </c>
      <c r="B35" s="14" t="s">
        <v>112</v>
      </c>
      <c r="C35" s="13"/>
      <c r="D35" s="15" t="s">
        <v>113</v>
      </c>
      <c r="E35" s="13">
        <f>COUNTIF(D15:D32,"Pass")/18</f>
        <v>0.88888888888888884</v>
      </c>
      <c r="F35" s="16"/>
    </row>
    <row r="36" spans="1:10" ht="25.5" customHeight="1" x14ac:dyDescent="0.35">
      <c r="A36" s="13" t="s">
        <v>114</v>
      </c>
      <c r="B36" s="14">
        <f>COUNTIF(D15:D32,"Pass")</f>
        <v>16</v>
      </c>
      <c r="C36" s="13" t="s">
        <v>115</v>
      </c>
      <c r="D36" s="15">
        <f>COUNTIF(D15:D32,"Fail")</f>
        <v>2</v>
      </c>
      <c r="E36" s="13"/>
      <c r="F36" s="16"/>
    </row>
    <row r="37" spans="1:10" ht="25.5" customHeight="1" x14ac:dyDescent="0.35">
      <c r="A37" s="13" t="s">
        <v>116</v>
      </c>
      <c r="B37" s="14">
        <f>COUNTIF(E15:E32,"Pass")</f>
        <v>14</v>
      </c>
      <c r="C37" s="13" t="s">
        <v>117</v>
      </c>
      <c r="D37" s="15">
        <f>COUNTIF(E15:E32,"Fail")</f>
        <v>4</v>
      </c>
      <c r="E37" s="13"/>
      <c r="F37" s="16"/>
    </row>
    <row r="38" spans="1:10" ht="25.5" customHeight="1" x14ac:dyDescent="0.35">
      <c r="A38" s="13" t="s">
        <v>118</v>
      </c>
      <c r="B38" s="14">
        <f>COUNTIF(F15:F32,"Pass")</f>
        <v>15</v>
      </c>
      <c r="C38" s="13" t="s">
        <v>119</v>
      </c>
      <c r="D38" s="15">
        <f>COUNTIF(F15:F32,"Fail")</f>
        <v>3</v>
      </c>
      <c r="E38" s="13"/>
      <c r="F38" s="16"/>
    </row>
  </sheetData>
  <mergeCells count="4">
    <mergeCell ref="A1:J1"/>
    <mergeCell ref="A7:J7"/>
    <mergeCell ref="A13:J13"/>
    <mergeCell ref="A34:J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70" zoomScaleNormal="70" workbookViewId="0">
      <pane ySplit="8" topLeftCell="A9" activePane="bottomLeft" state="frozen"/>
      <selection pane="bottomLeft" activeCell="C4" sqref="C4"/>
    </sheetView>
  </sheetViews>
  <sheetFormatPr defaultColWidth="8.6328125" defaultRowHeight="14.5" x14ac:dyDescent="0.35"/>
  <cols>
    <col min="1" max="1" width="17.36328125" customWidth="1"/>
    <col min="2" max="2" width="14" customWidth="1"/>
    <col min="3" max="3" width="32" customWidth="1"/>
    <col min="4" max="4" width="12" customWidth="1"/>
    <col min="5" max="5" width="14" customWidth="1"/>
    <col min="6" max="6" width="28" customWidth="1"/>
    <col min="7" max="7" width="34" customWidth="1"/>
    <col min="8" max="9" width="14" customWidth="1"/>
    <col min="10" max="10" width="30" customWidth="1"/>
  </cols>
  <sheetData>
    <row r="1" spans="1:10" ht="36" customHeight="1" x14ac:dyDescent="0.35">
      <c r="A1" s="2" t="s">
        <v>120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3" t="s">
        <v>1</v>
      </c>
      <c r="B2" s="4" t="s">
        <v>2</v>
      </c>
    </row>
    <row r="3" spans="1:10" x14ac:dyDescent="0.35">
      <c r="A3" s="3" t="s">
        <v>121</v>
      </c>
      <c r="B3" s="4" t="s">
        <v>4</v>
      </c>
    </row>
    <row r="4" spans="1:10" x14ac:dyDescent="0.35">
      <c r="A4" s="3" t="s">
        <v>122</v>
      </c>
      <c r="B4" s="4" t="s">
        <v>229</v>
      </c>
    </row>
    <row r="5" spans="1:10" x14ac:dyDescent="0.35">
      <c r="A5" s="3" t="s">
        <v>123</v>
      </c>
      <c r="B5" s="4" t="s">
        <v>124</v>
      </c>
    </row>
    <row r="6" spans="1:10" ht="7.5" customHeight="1" x14ac:dyDescent="0.35"/>
    <row r="7" spans="1:10" ht="25.5" customHeight="1" x14ac:dyDescent="0.35">
      <c r="A7" s="1" t="s">
        <v>125</v>
      </c>
      <c r="B7" s="1"/>
      <c r="C7" s="1"/>
      <c r="D7" s="1"/>
      <c r="E7" s="1"/>
      <c r="F7" s="1"/>
      <c r="G7" s="1"/>
      <c r="H7" s="1"/>
      <c r="I7" s="1"/>
      <c r="J7" s="1"/>
    </row>
    <row r="8" spans="1:10" ht="21.75" customHeight="1" x14ac:dyDescent="0.35">
      <c r="A8" s="8" t="s">
        <v>126</v>
      </c>
      <c r="B8" s="8" t="s">
        <v>127</v>
      </c>
      <c r="C8" s="8" t="s">
        <v>128</v>
      </c>
      <c r="D8" s="8" t="s">
        <v>129</v>
      </c>
      <c r="E8" s="8" t="s">
        <v>130</v>
      </c>
      <c r="F8" s="8" t="s">
        <v>131</v>
      </c>
      <c r="G8" s="8" t="s">
        <v>132</v>
      </c>
      <c r="H8" s="8" t="s">
        <v>133</v>
      </c>
      <c r="I8" s="8" t="s">
        <v>134</v>
      </c>
      <c r="J8" s="8" t="s">
        <v>135</v>
      </c>
    </row>
    <row r="9" spans="1:10" ht="69.75" customHeight="1" x14ac:dyDescent="0.35">
      <c r="A9" s="9" t="s">
        <v>136</v>
      </c>
      <c r="B9" s="9" t="s">
        <v>48</v>
      </c>
      <c r="C9" s="9" t="s">
        <v>137</v>
      </c>
      <c r="D9" s="17" t="s">
        <v>138</v>
      </c>
      <c r="E9" s="12" t="s">
        <v>139</v>
      </c>
      <c r="F9" s="9" t="s">
        <v>140</v>
      </c>
      <c r="G9" s="9" t="s">
        <v>141</v>
      </c>
      <c r="H9" s="12" t="s">
        <v>61</v>
      </c>
      <c r="I9" s="12" t="s">
        <v>142</v>
      </c>
      <c r="J9" s="9" t="s">
        <v>143</v>
      </c>
    </row>
    <row r="10" spans="1:10" ht="69.75" customHeight="1" x14ac:dyDescent="0.35">
      <c r="A10" s="11" t="s">
        <v>144</v>
      </c>
      <c r="B10" s="11" t="s">
        <v>56</v>
      </c>
      <c r="C10" s="11" t="s">
        <v>145</v>
      </c>
      <c r="D10" s="17" t="s">
        <v>138</v>
      </c>
      <c r="E10" s="12" t="s">
        <v>139</v>
      </c>
      <c r="F10" s="11" t="s">
        <v>146</v>
      </c>
      <c r="G10" s="11" t="s">
        <v>147</v>
      </c>
      <c r="H10" s="10" t="s">
        <v>42</v>
      </c>
      <c r="I10" s="10" t="s">
        <v>148</v>
      </c>
      <c r="J10" s="11" t="s">
        <v>149</v>
      </c>
    </row>
    <row r="11" spans="1:10" ht="69.75" customHeight="1" x14ac:dyDescent="0.35">
      <c r="A11" s="9" t="s">
        <v>150</v>
      </c>
      <c r="B11" s="9" t="s">
        <v>151</v>
      </c>
      <c r="C11" s="9" t="s">
        <v>152</v>
      </c>
      <c r="D11" s="18" t="s">
        <v>153</v>
      </c>
      <c r="E11" s="19" t="s">
        <v>154</v>
      </c>
      <c r="F11" s="9" t="s">
        <v>155</v>
      </c>
      <c r="G11" s="9" t="s">
        <v>156</v>
      </c>
      <c r="H11" s="12" t="s">
        <v>61</v>
      </c>
      <c r="I11" s="12" t="s">
        <v>142</v>
      </c>
      <c r="J11" s="9" t="s">
        <v>157</v>
      </c>
    </row>
    <row r="12" spans="1:10" ht="69.75" customHeight="1" x14ac:dyDescent="0.35">
      <c r="A12" s="11" t="s">
        <v>158</v>
      </c>
      <c r="B12" s="11" t="s">
        <v>159</v>
      </c>
      <c r="C12" s="11" t="s">
        <v>160</v>
      </c>
      <c r="D12" s="20" t="s">
        <v>161</v>
      </c>
      <c r="E12" s="12" t="s">
        <v>139</v>
      </c>
      <c r="F12" s="11" t="s">
        <v>162</v>
      </c>
      <c r="G12" s="11" t="s">
        <v>163</v>
      </c>
      <c r="H12" s="10" t="s">
        <v>42</v>
      </c>
      <c r="I12" s="10" t="s">
        <v>148</v>
      </c>
      <c r="J12" s="11" t="s">
        <v>164</v>
      </c>
    </row>
    <row r="13" spans="1:10" ht="69.75" customHeight="1" x14ac:dyDescent="0.35">
      <c r="A13" s="9" t="s">
        <v>165</v>
      </c>
      <c r="B13" s="9" t="s">
        <v>72</v>
      </c>
      <c r="C13" s="9" t="s">
        <v>166</v>
      </c>
      <c r="D13" s="17" t="s">
        <v>138</v>
      </c>
      <c r="E13" s="12" t="s">
        <v>142</v>
      </c>
      <c r="F13" s="9" t="s">
        <v>167</v>
      </c>
      <c r="G13" s="9" t="s">
        <v>168</v>
      </c>
      <c r="H13" s="10" t="s">
        <v>42</v>
      </c>
      <c r="I13" s="10" t="s">
        <v>148</v>
      </c>
      <c r="J13" s="9" t="s">
        <v>169</v>
      </c>
    </row>
    <row r="14" spans="1:10" ht="69.75" customHeight="1" x14ac:dyDescent="0.35">
      <c r="A14" s="11" t="s">
        <v>170</v>
      </c>
      <c r="B14" s="11" t="s">
        <v>80</v>
      </c>
      <c r="C14" s="11" t="s">
        <v>171</v>
      </c>
      <c r="D14" s="18" t="s">
        <v>153</v>
      </c>
      <c r="E14" s="12" t="s">
        <v>139</v>
      </c>
      <c r="F14" s="11" t="s">
        <v>172</v>
      </c>
      <c r="G14" s="11" t="s">
        <v>173</v>
      </c>
      <c r="H14" s="12" t="s">
        <v>61</v>
      </c>
      <c r="I14" s="12" t="s">
        <v>142</v>
      </c>
      <c r="J14" s="11" t="s">
        <v>174</v>
      </c>
    </row>
    <row r="16" spans="1:10" ht="25.5" customHeight="1" x14ac:dyDescent="0.35">
      <c r="A16" s="1" t="s">
        <v>175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7.75" customHeight="1" x14ac:dyDescent="0.35">
      <c r="A17" s="21" t="s">
        <v>176</v>
      </c>
      <c r="B17" s="22" t="s">
        <v>177</v>
      </c>
      <c r="C17" s="22"/>
      <c r="D17" s="23"/>
      <c r="E17" s="22"/>
      <c r="F17" s="22"/>
      <c r="G17" s="22"/>
      <c r="H17" s="22"/>
      <c r="I17" s="22"/>
      <c r="J17" s="22"/>
    </row>
    <row r="18" spans="1:10" ht="27.75" customHeight="1" x14ac:dyDescent="0.35">
      <c r="A18" s="21" t="s">
        <v>178</v>
      </c>
      <c r="B18" s="24">
        <f>COUNTIF(I9:I14,"Resolved")</f>
        <v>3</v>
      </c>
      <c r="C18" s="22"/>
      <c r="D18" s="23" t="s">
        <v>179</v>
      </c>
      <c r="E18" s="25">
        <f>COUNTIF(I9:I14,"Reopen")</f>
        <v>3</v>
      </c>
      <c r="F18" s="22"/>
      <c r="G18" s="22"/>
      <c r="H18" s="22"/>
      <c r="I18" s="22"/>
      <c r="J18" s="22"/>
    </row>
    <row r="19" spans="1:10" ht="27.75" customHeight="1" x14ac:dyDescent="0.35">
      <c r="A19" s="21" t="s">
        <v>180</v>
      </c>
      <c r="B19" s="26">
        <f>COUNTIF(I9:I14,"Resolved")/6</f>
        <v>0.5</v>
      </c>
      <c r="C19" s="22"/>
      <c r="D19" s="23"/>
      <c r="E19" s="22"/>
      <c r="F19" s="22"/>
      <c r="G19" s="22"/>
      <c r="H19" s="22"/>
      <c r="I19" s="22"/>
      <c r="J19" s="22"/>
    </row>
  </sheetData>
  <mergeCells count="3">
    <mergeCell ref="A1:J1"/>
    <mergeCell ref="A7:J7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zoomScale="70" zoomScaleNormal="70" workbookViewId="0">
      <pane ySplit="8" topLeftCell="A9" activePane="bottomLeft" state="frozen"/>
      <selection pane="bottomLeft" activeCell="H9" sqref="H9"/>
    </sheetView>
  </sheetViews>
  <sheetFormatPr defaultColWidth="8.6328125" defaultRowHeight="14.5" x14ac:dyDescent="0.35"/>
  <cols>
    <col min="1" max="1" width="16.54296875" customWidth="1"/>
    <col min="2" max="2" width="12" customWidth="1"/>
    <col min="3" max="3" width="14" customWidth="1"/>
    <col min="4" max="4" width="36" customWidth="1"/>
    <col min="5" max="5" width="11" customWidth="1"/>
    <col min="6" max="6" width="9" customWidth="1"/>
    <col min="7" max="7" width="18" customWidth="1"/>
    <col min="8" max="8" width="38" customWidth="1"/>
    <col min="9" max="9" width="28" customWidth="1"/>
    <col min="10" max="10" width="12" customWidth="1"/>
  </cols>
  <sheetData>
    <row r="1" spans="1:10" ht="36" customHeight="1" x14ac:dyDescent="0.35">
      <c r="A1" s="2" t="s">
        <v>181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3" t="s">
        <v>1</v>
      </c>
      <c r="B2" s="4" t="s">
        <v>2</v>
      </c>
    </row>
    <row r="3" spans="1:10" x14ac:dyDescent="0.35">
      <c r="A3" s="3" t="s">
        <v>182</v>
      </c>
      <c r="B3" s="4" t="s">
        <v>229</v>
      </c>
    </row>
    <row r="4" spans="1:10" x14ac:dyDescent="0.35">
      <c r="A4" s="3" t="s">
        <v>183</v>
      </c>
      <c r="B4" s="4" t="s">
        <v>4</v>
      </c>
    </row>
    <row r="5" spans="1:10" x14ac:dyDescent="0.35">
      <c r="A5" s="3" t="s">
        <v>184</v>
      </c>
      <c r="B5" s="4" t="s">
        <v>185</v>
      </c>
    </row>
    <row r="7" spans="1:10" ht="25.5" customHeight="1" x14ac:dyDescent="0.35">
      <c r="A7" s="1" t="s">
        <v>186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8" t="s">
        <v>126</v>
      </c>
      <c r="B8" s="8" t="s">
        <v>187</v>
      </c>
      <c r="C8" s="8" t="s">
        <v>127</v>
      </c>
      <c r="D8" s="8" t="s">
        <v>188</v>
      </c>
      <c r="E8" s="8" t="s">
        <v>129</v>
      </c>
      <c r="F8" s="8" t="s">
        <v>189</v>
      </c>
      <c r="G8" s="8" t="s">
        <v>190</v>
      </c>
      <c r="H8" s="8" t="s">
        <v>191</v>
      </c>
      <c r="I8" s="8" t="s">
        <v>192</v>
      </c>
      <c r="J8" s="8" t="s">
        <v>193</v>
      </c>
    </row>
    <row r="9" spans="1:10" ht="64.5" customHeight="1" x14ac:dyDescent="0.35">
      <c r="A9" s="9" t="s">
        <v>194</v>
      </c>
      <c r="B9" s="9" t="s">
        <v>195</v>
      </c>
      <c r="C9" s="9" t="s">
        <v>196</v>
      </c>
      <c r="D9" s="9" t="s">
        <v>197</v>
      </c>
      <c r="E9" s="17" t="s">
        <v>138</v>
      </c>
      <c r="F9" s="9" t="s">
        <v>198</v>
      </c>
      <c r="G9" s="9" t="s">
        <v>199</v>
      </c>
      <c r="H9" s="9" t="s">
        <v>200</v>
      </c>
      <c r="I9" s="9" t="s">
        <v>201</v>
      </c>
      <c r="J9" s="12" t="s">
        <v>139</v>
      </c>
    </row>
    <row r="10" spans="1:10" ht="64.5" customHeight="1" x14ac:dyDescent="0.35">
      <c r="A10" s="11" t="s">
        <v>202</v>
      </c>
      <c r="B10" s="11" t="s">
        <v>203</v>
      </c>
      <c r="C10" s="11" t="s">
        <v>196</v>
      </c>
      <c r="D10" s="11" t="s">
        <v>204</v>
      </c>
      <c r="E10" s="18" t="s">
        <v>153</v>
      </c>
      <c r="F10" s="11" t="s">
        <v>205</v>
      </c>
      <c r="G10" s="11" t="s">
        <v>206</v>
      </c>
      <c r="H10" s="11" t="s">
        <v>207</v>
      </c>
      <c r="I10" s="11" t="s">
        <v>208</v>
      </c>
      <c r="J10" s="12" t="s">
        <v>139</v>
      </c>
    </row>
    <row r="11" spans="1:10" ht="64.5" customHeight="1" x14ac:dyDescent="0.35">
      <c r="A11" s="9" t="s">
        <v>209</v>
      </c>
      <c r="B11" s="9" t="s">
        <v>210</v>
      </c>
      <c r="C11" s="9" t="s">
        <v>56</v>
      </c>
      <c r="D11" s="9" t="s">
        <v>211</v>
      </c>
      <c r="E11" s="18" t="s">
        <v>153</v>
      </c>
      <c r="F11" s="9" t="s">
        <v>205</v>
      </c>
      <c r="G11" s="9" t="s">
        <v>199</v>
      </c>
      <c r="H11" s="9" t="s">
        <v>212</v>
      </c>
      <c r="I11" s="9" t="s">
        <v>213</v>
      </c>
      <c r="J11" s="12" t="s">
        <v>139</v>
      </c>
    </row>
    <row r="12" spans="1:10" ht="64.5" customHeight="1" x14ac:dyDescent="0.35">
      <c r="A12" s="11" t="s">
        <v>214</v>
      </c>
      <c r="B12" s="11" t="s">
        <v>59</v>
      </c>
      <c r="C12" s="11" t="s">
        <v>56</v>
      </c>
      <c r="D12" s="11" t="s">
        <v>215</v>
      </c>
      <c r="E12" s="18" t="s">
        <v>153</v>
      </c>
      <c r="F12" s="11" t="s">
        <v>205</v>
      </c>
      <c r="G12" s="11" t="s">
        <v>36</v>
      </c>
      <c r="H12" s="11" t="s">
        <v>216</v>
      </c>
      <c r="I12" s="11" t="s">
        <v>217</v>
      </c>
      <c r="J12" s="12" t="s">
        <v>139</v>
      </c>
    </row>
    <row r="13" spans="1:10" ht="64.5" customHeight="1" x14ac:dyDescent="0.35">
      <c r="A13" s="9" t="s">
        <v>218</v>
      </c>
      <c r="B13" s="9" t="s">
        <v>71</v>
      </c>
      <c r="C13" s="9" t="s">
        <v>72</v>
      </c>
      <c r="D13" s="9" t="s">
        <v>219</v>
      </c>
      <c r="E13" s="20" t="s">
        <v>161</v>
      </c>
      <c r="F13" s="9" t="s">
        <v>220</v>
      </c>
      <c r="G13" s="9" t="s">
        <v>37</v>
      </c>
      <c r="H13" s="9" t="s">
        <v>221</v>
      </c>
      <c r="I13" s="9" t="s">
        <v>222</v>
      </c>
      <c r="J13" s="12" t="s">
        <v>139</v>
      </c>
    </row>
    <row r="14" spans="1:10" ht="64.5" customHeight="1" x14ac:dyDescent="0.35">
      <c r="A14" s="11" t="s">
        <v>223</v>
      </c>
      <c r="B14" s="11" t="s">
        <v>224</v>
      </c>
      <c r="C14" s="11" t="s">
        <v>225</v>
      </c>
      <c r="D14" s="11" t="s">
        <v>226</v>
      </c>
      <c r="E14" s="20" t="s">
        <v>161</v>
      </c>
      <c r="F14" s="11" t="s">
        <v>220</v>
      </c>
      <c r="G14" s="11" t="s">
        <v>199</v>
      </c>
      <c r="H14" s="11" t="s">
        <v>227</v>
      </c>
      <c r="I14" s="11" t="s">
        <v>228</v>
      </c>
      <c r="J14" s="12" t="s">
        <v>139</v>
      </c>
    </row>
  </sheetData>
  <mergeCells count="2">
    <mergeCell ref="A1:J1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Cross-Browser Compatibility</vt:lpstr>
      <vt:lpstr>Retesting Report</vt:lpstr>
      <vt:lpstr>New Bugs Week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2026-04-03T17:52:33Z</dcterms:created>
  <dcterms:modified xsi:type="dcterms:W3CDTF">2026-04-03T18:01:16Z</dcterms:modified>
  <dc:language>en-US</dc:language>
</cp:coreProperties>
</file>